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F1375FE7-2828-422F-9776-98C8AFD518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asses" sheetId="1" r:id="rId1"/>
    <sheet name="ObjectProperties" sheetId="2" r:id="rId2"/>
    <sheet name="DataProperties" sheetId="3" r:id="rId3"/>
    <sheet name="Instances" sheetId="4" r:id="rId4"/>
    <sheet name="Relationships" sheetId="6" r:id="rId5"/>
    <sheet name="DataProperties Valu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36" i="5"/>
  <c r="C26" i="5" s="1"/>
  <c r="C47" i="5"/>
  <c r="C4" i="5"/>
  <c r="C6" i="5" s="1"/>
  <c r="C2" i="5"/>
  <c r="C3" i="5" s="1"/>
  <c r="C11" i="5"/>
  <c r="C10" i="5"/>
  <c r="C9" i="5"/>
  <c r="C8" i="5"/>
  <c r="C5" i="5"/>
  <c r="C7" i="5" s="1"/>
</calcChain>
</file>

<file path=xl/sharedStrings.xml><?xml version="1.0" encoding="utf-8"?>
<sst xmlns="http://schemas.openxmlformats.org/spreadsheetml/2006/main" count="615" uniqueCount="145">
  <si>
    <t>Class</t>
  </si>
  <si>
    <t>Station</t>
  </si>
  <si>
    <t>Operation</t>
  </si>
  <si>
    <t>Agent</t>
  </si>
  <si>
    <t>Human</t>
  </si>
  <si>
    <t>Robot</t>
  </si>
  <si>
    <t>Machine</t>
  </si>
  <si>
    <t>Property</t>
  </si>
  <si>
    <t>hasAgent</t>
  </si>
  <si>
    <t>hasOperation</t>
  </si>
  <si>
    <t>operationDuration</t>
  </si>
  <si>
    <t>decimal</t>
  </si>
  <si>
    <t>Line1</t>
  </si>
  <si>
    <t>Worker1</t>
  </si>
  <si>
    <t>Worker2</t>
  </si>
  <si>
    <t>Worker3</t>
  </si>
  <si>
    <t>LargeRobot2</t>
  </si>
  <si>
    <t>LargeRobot3</t>
  </si>
  <si>
    <t>Operation1</t>
  </si>
  <si>
    <t>Operation2</t>
  </si>
  <si>
    <t>Operation3</t>
  </si>
  <si>
    <t>Operation4</t>
  </si>
  <si>
    <t>Operation5</t>
  </si>
  <si>
    <t>Operation6</t>
  </si>
  <si>
    <t>Operation7</t>
  </si>
  <si>
    <t>Operation8</t>
  </si>
  <si>
    <t>Operation9</t>
  </si>
  <si>
    <t>Station1</t>
  </si>
  <si>
    <t>Station2</t>
  </si>
  <si>
    <t>Station3</t>
  </si>
  <si>
    <t>Station4</t>
  </si>
  <si>
    <t>Station5</t>
  </si>
  <si>
    <t>Station6</t>
  </si>
  <si>
    <t>ParentClass</t>
  </si>
  <si>
    <t>Domain</t>
  </si>
  <si>
    <t>Range</t>
  </si>
  <si>
    <t>Instance</t>
  </si>
  <si>
    <t>Subject</t>
  </si>
  <si>
    <t>Object</t>
  </si>
  <si>
    <t>Value</t>
  </si>
  <si>
    <t>Label</t>
  </si>
  <si>
    <t>Line 1</t>
  </si>
  <si>
    <t>Worker 1</t>
  </si>
  <si>
    <t>Worker 2</t>
  </si>
  <si>
    <t>Worker 3</t>
  </si>
  <si>
    <t>Station 1</t>
  </si>
  <si>
    <t>Station 2</t>
  </si>
  <si>
    <t>Station 3</t>
  </si>
  <si>
    <t>Station 4</t>
  </si>
  <si>
    <t>Station 5</t>
  </si>
  <si>
    <t>Large Robot 3</t>
  </si>
  <si>
    <t>Large Robot 2</t>
  </si>
  <si>
    <t>baseSpeed_mean</t>
  </si>
  <si>
    <t>baseSpeed_std</t>
  </si>
  <si>
    <t>Comment</t>
  </si>
  <si>
    <t>normal distribution</t>
  </si>
  <si>
    <t>fatigue_rate_a</t>
  </si>
  <si>
    <t>uniform distribution</t>
  </si>
  <si>
    <t>fatigue_rate_b</t>
  </si>
  <si>
    <t>lunch_time</t>
  </si>
  <si>
    <t>partial_recovery_a</t>
  </si>
  <si>
    <t>partial_recovery_b</t>
  </si>
  <si>
    <t>seconds</t>
  </si>
  <si>
    <t>LargeRobot1</t>
  </si>
  <si>
    <t>Large Robot 1</t>
  </si>
  <si>
    <t>CNCMill1</t>
  </si>
  <si>
    <t>CNC Mill 1</t>
  </si>
  <si>
    <t>CNCMill2</t>
  </si>
  <si>
    <t>CNCMill3</t>
  </si>
  <si>
    <t>CNCMill4</t>
  </si>
  <si>
    <t>CNC Mill 2</t>
  </si>
  <si>
    <t>CNC Mill 3</t>
  </si>
  <si>
    <t>CNC Mill 4</t>
  </si>
  <si>
    <t>Drill1</t>
  </si>
  <si>
    <t>Drill2</t>
  </si>
  <si>
    <t>Drill 1</t>
  </si>
  <si>
    <t>Drill 2</t>
  </si>
  <si>
    <t>DeburringMachine1</t>
  </si>
  <si>
    <t>Deburring Machine 1</t>
  </si>
  <si>
    <t>DeburringMachine2</t>
  </si>
  <si>
    <t>Deburring Machine 2</t>
  </si>
  <si>
    <t>WashingMachine</t>
  </si>
  <si>
    <t>LeakTestMachine</t>
  </si>
  <si>
    <t>Washing Machine</t>
  </si>
  <si>
    <t>Leak Test Machine</t>
  </si>
  <si>
    <t>FlowTestMachine</t>
  </si>
  <si>
    <t>Flow Test Machine</t>
  </si>
  <si>
    <t>Station 6</t>
  </si>
  <si>
    <t>LargeRobot4</t>
  </si>
  <si>
    <t>Drilling</t>
  </si>
  <si>
    <t>Deburring</t>
  </si>
  <si>
    <t>Washing Parts</t>
  </si>
  <si>
    <t>Leak Test</t>
  </si>
  <si>
    <t xml:space="preserve">Flow Test </t>
  </si>
  <si>
    <t>Inspection</t>
  </si>
  <si>
    <t>CNC Mill Operation</t>
  </si>
  <si>
    <t>Flow Test Machine Operation</t>
  </si>
  <si>
    <t>Leak Test Machine Operation</t>
  </si>
  <si>
    <t>Plant</t>
  </si>
  <si>
    <t>Line</t>
  </si>
  <si>
    <t>Capability</t>
  </si>
  <si>
    <t>startingOperation</t>
  </si>
  <si>
    <t>hasLine</t>
  </si>
  <si>
    <t>nextOperation</t>
  </si>
  <si>
    <t>needCapability</t>
  </si>
  <si>
    <t>hasCapability</t>
  </si>
  <si>
    <t xml:space="preserve">time for lunch </t>
  </si>
  <si>
    <t>Plant1</t>
  </si>
  <si>
    <t>My Plant</t>
  </si>
  <si>
    <t>Line2</t>
  </si>
  <si>
    <t>Line 2</t>
  </si>
  <si>
    <t>Line3</t>
  </si>
  <si>
    <t>Line 3</t>
  </si>
  <si>
    <t>unused agent</t>
  </si>
  <si>
    <t>Worker4</t>
  </si>
  <si>
    <t>Worker 4</t>
  </si>
  <si>
    <t>Capability1</t>
  </si>
  <si>
    <t>Capability2</t>
  </si>
  <si>
    <t>Capability3</t>
  </si>
  <si>
    <t>Capability4</t>
  </si>
  <si>
    <t>Capability5</t>
  </si>
  <si>
    <t>Capability6</t>
  </si>
  <si>
    <t>Capability7</t>
  </si>
  <si>
    <t>Washing Machine Operation</t>
  </si>
  <si>
    <t>Station7</t>
  </si>
  <si>
    <t>Station 7</t>
  </si>
  <si>
    <t>CNC 1</t>
  </si>
  <si>
    <t>CNC 2</t>
  </si>
  <si>
    <t>Drill debur 1</t>
  </si>
  <si>
    <t>Drill debur 2</t>
  </si>
  <si>
    <t>washing machine</t>
  </si>
  <si>
    <t>CNC Milling 1</t>
  </si>
  <si>
    <t>CNC Milling 2</t>
  </si>
  <si>
    <t>Drilling 1</t>
  </si>
  <si>
    <t>Deburring 1</t>
  </si>
  <si>
    <t>Drilling 2</t>
  </si>
  <si>
    <t>Deburring 2</t>
  </si>
  <si>
    <t>Operation10</t>
  </si>
  <si>
    <t>select the best route</t>
  </si>
  <si>
    <t>Large Robot 4</t>
  </si>
  <si>
    <t>string</t>
  </si>
  <si>
    <t>CNC Mill</t>
  </si>
  <si>
    <t>Flow Test</t>
  </si>
  <si>
    <t>Washing</t>
  </si>
  <si>
    <t>Flow leak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</si>
</sst>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2" borderId="1" xfId="0" applyFill="1" applyBorder="1"/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D13" sqref="D13"/>
    </sheetView>
  </sheetViews>
  <sheetFormatPr defaultRowHeight="14.4" x14ac:dyDescent="0.3"/>
  <cols>
    <col min="1" max="1" width="16.33203125" bestFit="1" customWidth="1"/>
    <col min="2" max="2" width="10.6640625" bestFit="1" customWidth="1"/>
  </cols>
  <sheetData>
    <row r="1" spans="1:2" x14ac:dyDescent="0.3">
      <c r="A1" s="6" t="s">
        <v>0</v>
      </c>
      <c r="B1" s="6" t="s">
        <v>33</v>
      </c>
    </row>
    <row r="2" spans="1:2" x14ac:dyDescent="0.3">
      <c r="A2" s="7" t="s">
        <v>98</v>
      </c>
      <c r="B2" s="7"/>
    </row>
    <row r="3" spans="1:2" x14ac:dyDescent="0.3">
      <c r="A3" s="7" t="s">
        <v>99</v>
      </c>
      <c r="B3" s="7"/>
    </row>
    <row r="4" spans="1:2" x14ac:dyDescent="0.3">
      <c r="A4" s="7" t="s">
        <v>1</v>
      </c>
      <c r="B4" s="7"/>
    </row>
    <row r="5" spans="1:2" x14ac:dyDescent="0.3">
      <c r="A5" s="7" t="s">
        <v>2</v>
      </c>
      <c r="B5" s="7"/>
    </row>
    <row r="6" spans="1:2" x14ac:dyDescent="0.3">
      <c r="A6" s="7" t="s">
        <v>3</v>
      </c>
      <c r="B6" s="7"/>
    </row>
    <row r="7" spans="1:2" x14ac:dyDescent="0.3">
      <c r="A7" s="7" t="s">
        <v>4</v>
      </c>
      <c r="B7" s="7" t="s">
        <v>3</v>
      </c>
    </row>
    <row r="8" spans="1:2" x14ac:dyDescent="0.3">
      <c r="A8" s="7" t="s">
        <v>5</v>
      </c>
      <c r="B8" s="7" t="s">
        <v>3</v>
      </c>
    </row>
    <row r="9" spans="1:2" x14ac:dyDescent="0.3">
      <c r="A9" s="7" t="s">
        <v>6</v>
      </c>
      <c r="B9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D8" sqref="D8"/>
    </sheetView>
  </sheetViews>
  <sheetFormatPr defaultRowHeight="14.4" x14ac:dyDescent="0.3"/>
  <cols>
    <col min="1" max="1" width="15.109375" customWidth="1"/>
    <col min="2" max="2" width="16.33203125" bestFit="1" customWidth="1"/>
    <col min="3" max="3" width="9.77734375" customWidth="1"/>
    <col min="4" max="4" width="15.44140625" customWidth="1"/>
  </cols>
  <sheetData>
    <row r="1" spans="1:3" x14ac:dyDescent="0.3">
      <c r="A1" s="6" t="s">
        <v>7</v>
      </c>
      <c r="B1" s="6" t="s">
        <v>34</v>
      </c>
      <c r="C1" s="6" t="s">
        <v>35</v>
      </c>
    </row>
    <row r="2" spans="1:3" x14ac:dyDescent="0.3">
      <c r="A2" s="8" t="s">
        <v>101</v>
      </c>
      <c r="B2" s="7" t="s">
        <v>98</v>
      </c>
      <c r="C2" s="7" t="s">
        <v>2</v>
      </c>
    </row>
    <row r="3" spans="1:3" x14ac:dyDescent="0.3">
      <c r="A3" s="7" t="s">
        <v>102</v>
      </c>
      <c r="B3" s="7" t="s">
        <v>98</v>
      </c>
      <c r="C3" s="7" t="s">
        <v>99</v>
      </c>
    </row>
    <row r="4" spans="1:3" x14ac:dyDescent="0.3">
      <c r="A4" s="7" t="s">
        <v>8</v>
      </c>
      <c r="B4" s="7" t="s">
        <v>1</v>
      </c>
      <c r="C4" s="7" t="s">
        <v>3</v>
      </c>
    </row>
    <row r="5" spans="1:3" x14ac:dyDescent="0.3">
      <c r="A5" s="7" t="s">
        <v>9</v>
      </c>
      <c r="B5" s="7" t="s">
        <v>1</v>
      </c>
      <c r="C5" s="7" t="s">
        <v>2</v>
      </c>
    </row>
    <row r="6" spans="1:3" x14ac:dyDescent="0.3">
      <c r="A6" s="7" t="s">
        <v>103</v>
      </c>
      <c r="B6" s="7" t="s">
        <v>2</v>
      </c>
      <c r="C6" s="7" t="s">
        <v>2</v>
      </c>
    </row>
    <row r="7" spans="1:3" x14ac:dyDescent="0.3">
      <c r="A7" s="7" t="s">
        <v>9</v>
      </c>
      <c r="B7" s="7" t="s">
        <v>99</v>
      </c>
      <c r="C7" s="7" t="s">
        <v>2</v>
      </c>
    </row>
    <row r="8" spans="1:3" s="25" customFormat="1" x14ac:dyDescent="0.3"/>
    <row r="9" spans="1:3" s="25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D18" sqref="D18"/>
    </sheetView>
  </sheetViews>
  <sheetFormatPr defaultRowHeight="14.4" x14ac:dyDescent="0.3"/>
  <cols>
    <col min="1" max="1" width="16.44140625" bestFit="1" customWidth="1"/>
    <col min="2" max="2" width="16.33203125" bestFit="1" customWidth="1"/>
    <col min="3" max="3" width="7.33203125" bestFit="1" customWidth="1"/>
    <col min="4" max="4" width="17.33203125" bestFit="1" customWidth="1"/>
    <col min="5" max="5" width="16.44140625" customWidth="1"/>
    <col min="8" max="8" width="17.77734375" customWidth="1"/>
  </cols>
  <sheetData>
    <row r="1" spans="1:4" x14ac:dyDescent="0.3">
      <c r="A1" s="6" t="s">
        <v>7</v>
      </c>
      <c r="B1" s="6" t="s">
        <v>34</v>
      </c>
      <c r="C1" s="6" t="s">
        <v>35</v>
      </c>
      <c r="D1" s="6" t="s">
        <v>54</v>
      </c>
    </row>
    <row r="2" spans="1:4" x14ac:dyDescent="0.3">
      <c r="A2" s="7" t="s">
        <v>10</v>
      </c>
      <c r="B2" s="7" t="s">
        <v>2</v>
      </c>
      <c r="C2" s="7" t="s">
        <v>11</v>
      </c>
      <c r="D2" s="7"/>
    </row>
    <row r="3" spans="1:4" x14ac:dyDescent="0.3">
      <c r="A3" s="7" t="s">
        <v>52</v>
      </c>
      <c r="B3" s="7" t="s">
        <v>3</v>
      </c>
      <c r="C3" s="7" t="s">
        <v>11</v>
      </c>
      <c r="D3" s="7" t="s">
        <v>55</v>
      </c>
    </row>
    <row r="4" spans="1:4" x14ac:dyDescent="0.3">
      <c r="A4" s="7" t="s">
        <v>53</v>
      </c>
      <c r="B4" s="7" t="s">
        <v>3</v>
      </c>
      <c r="C4" s="7" t="s">
        <v>11</v>
      </c>
      <c r="D4" s="7" t="s">
        <v>55</v>
      </c>
    </row>
    <row r="5" spans="1:4" x14ac:dyDescent="0.3">
      <c r="A5" s="7" t="s">
        <v>56</v>
      </c>
      <c r="B5" s="7" t="s">
        <v>4</v>
      </c>
      <c r="C5" s="7" t="s">
        <v>11</v>
      </c>
      <c r="D5" s="7" t="s">
        <v>57</v>
      </c>
    </row>
    <row r="6" spans="1:4" x14ac:dyDescent="0.3">
      <c r="A6" s="7" t="s">
        <v>58</v>
      </c>
      <c r="B6" s="7" t="s">
        <v>4</v>
      </c>
      <c r="C6" s="7" t="s">
        <v>11</v>
      </c>
      <c r="D6" s="7" t="s">
        <v>57</v>
      </c>
    </row>
    <row r="7" spans="1:4" x14ac:dyDescent="0.3">
      <c r="A7" s="7" t="s">
        <v>59</v>
      </c>
      <c r="B7" s="7" t="s">
        <v>4</v>
      </c>
      <c r="C7" s="7" t="s">
        <v>11</v>
      </c>
      <c r="D7" s="7" t="s">
        <v>106</v>
      </c>
    </row>
    <row r="8" spans="1:4" x14ac:dyDescent="0.3">
      <c r="A8" s="7" t="s">
        <v>60</v>
      </c>
      <c r="B8" s="7" t="s">
        <v>4</v>
      </c>
      <c r="C8" s="7" t="s">
        <v>11</v>
      </c>
      <c r="D8" s="7" t="s">
        <v>57</v>
      </c>
    </row>
    <row r="9" spans="1:4" x14ac:dyDescent="0.3">
      <c r="A9" s="7" t="s">
        <v>61</v>
      </c>
      <c r="B9" s="7" t="s">
        <v>4</v>
      </c>
      <c r="C9" s="7" t="s">
        <v>11</v>
      </c>
      <c r="D9" s="7" t="s">
        <v>57</v>
      </c>
    </row>
    <row r="10" spans="1:4" x14ac:dyDescent="0.3">
      <c r="A10" s="7" t="s">
        <v>104</v>
      </c>
      <c r="B10" s="7" t="s">
        <v>2</v>
      </c>
      <c r="C10" s="7" t="s">
        <v>140</v>
      </c>
      <c r="D10" s="7"/>
    </row>
    <row r="11" spans="1:4" x14ac:dyDescent="0.3">
      <c r="A11" s="7" t="s">
        <v>105</v>
      </c>
      <c r="B11" s="7" t="s">
        <v>3</v>
      </c>
      <c r="C11" s="7" t="s">
        <v>140</v>
      </c>
      <c r="D1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zoomScale="108" workbookViewId="0">
      <pane ySplit="1" topLeftCell="A2" activePane="bottomLeft" state="frozen"/>
      <selection pane="bottomLeft" activeCell="E41" sqref="E41"/>
    </sheetView>
  </sheetViews>
  <sheetFormatPr defaultRowHeight="14.4" x14ac:dyDescent="0.3"/>
  <cols>
    <col min="1" max="1" width="17.21875" customWidth="1"/>
    <col min="2" max="2" width="16.33203125" bestFit="1" customWidth="1"/>
    <col min="3" max="3" width="26" customWidth="1"/>
    <col min="4" max="4" width="16.109375" customWidth="1"/>
    <col min="5" max="5" width="10.5546875" customWidth="1"/>
    <col min="6" max="6" width="11.5546875" customWidth="1"/>
  </cols>
  <sheetData>
    <row r="1" spans="1:8" x14ac:dyDescent="0.3">
      <c r="A1" s="6" t="s">
        <v>36</v>
      </c>
      <c r="B1" s="6" t="s">
        <v>0</v>
      </c>
      <c r="C1" s="9" t="s">
        <v>40</v>
      </c>
      <c r="D1" s="10" t="s">
        <v>54</v>
      </c>
    </row>
    <row r="2" spans="1:8" x14ac:dyDescent="0.3">
      <c r="A2" s="11" t="s">
        <v>107</v>
      </c>
      <c r="B2" s="11" t="s">
        <v>98</v>
      </c>
      <c r="C2" s="12" t="s">
        <v>108</v>
      </c>
      <c r="D2" s="13"/>
      <c r="E2" s="2"/>
      <c r="F2" s="2"/>
      <c r="G2" s="5"/>
      <c r="H2" s="5"/>
    </row>
    <row r="3" spans="1:8" x14ac:dyDescent="0.3">
      <c r="A3" s="14" t="s">
        <v>12</v>
      </c>
      <c r="B3" s="14" t="s">
        <v>99</v>
      </c>
      <c r="C3" s="14" t="s">
        <v>41</v>
      </c>
      <c r="D3" s="14"/>
      <c r="E3" s="2"/>
      <c r="F3" s="2"/>
      <c r="G3" s="5"/>
      <c r="H3" s="5"/>
    </row>
    <row r="4" spans="1:8" x14ac:dyDescent="0.3">
      <c r="A4" s="14" t="s">
        <v>109</v>
      </c>
      <c r="B4" s="14" t="s">
        <v>99</v>
      </c>
      <c r="C4" s="14" t="s">
        <v>110</v>
      </c>
      <c r="D4" s="14"/>
      <c r="E4" s="2"/>
      <c r="F4" s="2"/>
      <c r="G4" s="5"/>
      <c r="H4" s="5"/>
    </row>
    <row r="5" spans="1:8" x14ac:dyDescent="0.3">
      <c r="A5" s="14" t="s">
        <v>111</v>
      </c>
      <c r="B5" s="14" t="s">
        <v>99</v>
      </c>
      <c r="C5" s="14" t="s">
        <v>112</v>
      </c>
      <c r="D5" s="14"/>
      <c r="E5" s="2"/>
      <c r="F5" s="2"/>
      <c r="G5" s="5"/>
      <c r="H5" s="5"/>
    </row>
    <row r="6" spans="1:8" x14ac:dyDescent="0.3">
      <c r="A6" s="15" t="s">
        <v>13</v>
      </c>
      <c r="B6" s="15" t="s">
        <v>4</v>
      </c>
      <c r="C6" s="15" t="s">
        <v>42</v>
      </c>
      <c r="D6" s="15"/>
      <c r="E6" s="2"/>
      <c r="F6" s="2"/>
      <c r="G6" s="5"/>
      <c r="H6" s="5"/>
    </row>
    <row r="7" spans="1:8" x14ac:dyDescent="0.3">
      <c r="A7" s="15" t="s">
        <v>14</v>
      </c>
      <c r="B7" s="15" t="s">
        <v>4</v>
      </c>
      <c r="C7" s="15" t="s">
        <v>43</v>
      </c>
      <c r="D7" s="15"/>
      <c r="E7" s="2"/>
      <c r="F7" s="2"/>
      <c r="G7" s="5"/>
      <c r="H7" s="5"/>
    </row>
    <row r="8" spans="1:8" x14ac:dyDescent="0.3">
      <c r="A8" s="15" t="s">
        <v>15</v>
      </c>
      <c r="B8" s="15" t="s">
        <v>4</v>
      </c>
      <c r="C8" s="15" t="s">
        <v>44</v>
      </c>
      <c r="D8" s="15"/>
      <c r="E8" s="2"/>
      <c r="F8" s="2"/>
      <c r="G8" s="5"/>
      <c r="H8" s="5"/>
    </row>
    <row r="9" spans="1:8" x14ac:dyDescent="0.3">
      <c r="A9" s="15" t="s">
        <v>114</v>
      </c>
      <c r="B9" s="15" t="s">
        <v>4</v>
      </c>
      <c r="C9" s="15" t="s">
        <v>115</v>
      </c>
      <c r="D9" s="15" t="s">
        <v>113</v>
      </c>
      <c r="E9" s="2"/>
      <c r="F9" s="2"/>
      <c r="G9" s="5"/>
      <c r="H9" s="5"/>
    </row>
    <row r="10" spans="1:8" x14ac:dyDescent="0.3">
      <c r="A10" s="16" t="s">
        <v>63</v>
      </c>
      <c r="B10" s="16" t="s">
        <v>5</v>
      </c>
      <c r="C10" s="16" t="s">
        <v>64</v>
      </c>
      <c r="D10" s="16"/>
      <c r="E10" s="2"/>
      <c r="F10" s="2"/>
      <c r="G10" s="5"/>
      <c r="H10" s="5"/>
    </row>
    <row r="11" spans="1:8" x14ac:dyDescent="0.3">
      <c r="A11" s="16" t="s">
        <v>16</v>
      </c>
      <c r="B11" s="16" t="s">
        <v>5</v>
      </c>
      <c r="C11" s="16" t="s">
        <v>51</v>
      </c>
      <c r="D11" s="16"/>
      <c r="E11" s="2"/>
      <c r="F11" s="2"/>
      <c r="G11" s="5"/>
      <c r="H11" s="5"/>
    </row>
    <row r="12" spans="1:8" x14ac:dyDescent="0.3">
      <c r="A12" s="16" t="s">
        <v>17</v>
      </c>
      <c r="B12" s="16" t="s">
        <v>5</v>
      </c>
      <c r="C12" s="16" t="s">
        <v>50</v>
      </c>
      <c r="D12" s="16"/>
      <c r="E12" s="2"/>
      <c r="F12" s="2"/>
      <c r="G12" s="5"/>
      <c r="H12" s="5"/>
    </row>
    <row r="13" spans="1:8" x14ac:dyDescent="0.3">
      <c r="A13" s="16" t="s">
        <v>88</v>
      </c>
      <c r="B13" s="16" t="s">
        <v>5</v>
      </c>
      <c r="C13" s="16" t="s">
        <v>139</v>
      </c>
      <c r="D13" s="16"/>
      <c r="E13" s="2"/>
      <c r="F13" s="2"/>
      <c r="G13" s="5"/>
      <c r="H13" s="5"/>
    </row>
    <row r="14" spans="1:8" x14ac:dyDescent="0.3">
      <c r="A14" s="17" t="s">
        <v>65</v>
      </c>
      <c r="B14" s="17" t="s">
        <v>6</v>
      </c>
      <c r="C14" s="17" t="s">
        <v>66</v>
      </c>
      <c r="D14" s="17"/>
      <c r="E14" s="2"/>
      <c r="F14" s="2"/>
      <c r="G14" s="5"/>
      <c r="H14" s="5"/>
    </row>
    <row r="15" spans="1:8" x14ac:dyDescent="0.3">
      <c r="A15" s="17" t="s">
        <v>67</v>
      </c>
      <c r="B15" s="17" t="s">
        <v>6</v>
      </c>
      <c r="C15" s="17" t="s">
        <v>70</v>
      </c>
      <c r="D15" s="17"/>
      <c r="E15" s="2"/>
      <c r="F15" s="2"/>
      <c r="G15" s="5"/>
      <c r="H15" s="5"/>
    </row>
    <row r="16" spans="1:8" x14ac:dyDescent="0.3">
      <c r="A16" s="17" t="s">
        <v>68</v>
      </c>
      <c r="B16" s="17" t="s">
        <v>6</v>
      </c>
      <c r="C16" s="17" t="s">
        <v>71</v>
      </c>
      <c r="D16" s="17"/>
      <c r="E16" s="2"/>
      <c r="F16" s="2"/>
      <c r="G16" s="5"/>
      <c r="H16" s="5"/>
    </row>
    <row r="17" spans="1:8" x14ac:dyDescent="0.3">
      <c r="A17" s="17" t="s">
        <v>69</v>
      </c>
      <c r="B17" s="17" t="s">
        <v>6</v>
      </c>
      <c r="C17" s="17" t="s">
        <v>72</v>
      </c>
      <c r="D17" s="17"/>
      <c r="E17" s="2"/>
      <c r="F17" s="2"/>
      <c r="G17" s="5"/>
      <c r="H17" s="5"/>
    </row>
    <row r="18" spans="1:8" x14ac:dyDescent="0.3">
      <c r="A18" s="17" t="s">
        <v>73</v>
      </c>
      <c r="B18" s="17" t="s">
        <v>6</v>
      </c>
      <c r="C18" s="17" t="s">
        <v>75</v>
      </c>
      <c r="D18" s="17"/>
      <c r="E18" s="2"/>
      <c r="F18" s="2"/>
      <c r="G18" s="5"/>
      <c r="H18" s="5"/>
    </row>
    <row r="19" spans="1:8" x14ac:dyDescent="0.3">
      <c r="A19" s="17" t="s">
        <v>74</v>
      </c>
      <c r="B19" s="17" t="s">
        <v>6</v>
      </c>
      <c r="C19" s="17" t="s">
        <v>76</v>
      </c>
      <c r="D19" s="17"/>
      <c r="E19" s="2"/>
      <c r="F19" s="2"/>
      <c r="G19" s="5"/>
      <c r="H19" s="5"/>
    </row>
    <row r="20" spans="1:8" x14ac:dyDescent="0.3">
      <c r="A20" s="17" t="s">
        <v>77</v>
      </c>
      <c r="B20" s="17" t="s">
        <v>6</v>
      </c>
      <c r="C20" s="17" t="s">
        <v>78</v>
      </c>
      <c r="D20" s="17"/>
      <c r="E20" s="2"/>
      <c r="F20" s="2"/>
      <c r="G20" s="5"/>
      <c r="H20" s="5"/>
    </row>
    <row r="21" spans="1:8" x14ac:dyDescent="0.3">
      <c r="A21" s="17" t="s">
        <v>79</v>
      </c>
      <c r="B21" s="17" t="s">
        <v>6</v>
      </c>
      <c r="C21" s="17" t="s">
        <v>80</v>
      </c>
      <c r="D21" s="17"/>
      <c r="E21" s="2"/>
      <c r="F21" s="2"/>
      <c r="G21" s="5"/>
      <c r="H21" s="5"/>
    </row>
    <row r="22" spans="1:8" x14ac:dyDescent="0.3">
      <c r="A22" s="17" t="s">
        <v>81</v>
      </c>
      <c r="B22" s="17" t="s">
        <v>6</v>
      </c>
      <c r="C22" s="17" t="s">
        <v>83</v>
      </c>
      <c r="D22" s="17"/>
      <c r="E22" s="2"/>
      <c r="F22" s="2"/>
      <c r="G22" s="5"/>
      <c r="H22" s="5"/>
    </row>
    <row r="23" spans="1:8" x14ac:dyDescent="0.3">
      <c r="A23" s="17" t="s">
        <v>82</v>
      </c>
      <c r="B23" s="17" t="s">
        <v>6</v>
      </c>
      <c r="C23" s="17" t="s">
        <v>84</v>
      </c>
      <c r="D23" s="17"/>
      <c r="E23" s="2"/>
      <c r="F23" s="2"/>
      <c r="G23" s="5"/>
      <c r="H23" s="5"/>
    </row>
    <row r="24" spans="1:8" x14ac:dyDescent="0.3">
      <c r="A24" s="17" t="s">
        <v>85</v>
      </c>
      <c r="B24" s="17" t="s">
        <v>6</v>
      </c>
      <c r="C24" s="17" t="s">
        <v>86</v>
      </c>
      <c r="D24" s="17"/>
      <c r="E24" s="2"/>
      <c r="F24" s="2"/>
      <c r="G24" s="5"/>
      <c r="H24" s="5"/>
    </row>
    <row r="25" spans="1:8" x14ac:dyDescent="0.3">
      <c r="A25" s="18" t="s">
        <v>18</v>
      </c>
      <c r="B25" s="18" t="s">
        <v>2</v>
      </c>
      <c r="C25" s="18" t="s">
        <v>131</v>
      </c>
      <c r="D25" s="18"/>
      <c r="E25" s="2"/>
      <c r="F25" s="2"/>
      <c r="G25" s="5"/>
      <c r="H25" s="5"/>
    </row>
    <row r="26" spans="1:8" x14ac:dyDescent="0.3">
      <c r="A26" s="18" t="s">
        <v>19</v>
      </c>
      <c r="B26" s="18" t="s">
        <v>2</v>
      </c>
      <c r="C26" s="18" t="s">
        <v>132</v>
      </c>
      <c r="D26" s="18"/>
      <c r="E26" s="2"/>
      <c r="F26" s="2"/>
      <c r="G26" s="5"/>
      <c r="H26" s="5"/>
    </row>
    <row r="27" spans="1:8" x14ac:dyDescent="0.3">
      <c r="A27" s="18" t="s">
        <v>20</v>
      </c>
      <c r="B27" s="18" t="s">
        <v>2</v>
      </c>
      <c r="C27" s="18" t="s">
        <v>133</v>
      </c>
      <c r="D27" s="18"/>
      <c r="E27" s="2"/>
      <c r="F27" s="2"/>
      <c r="G27" s="5"/>
      <c r="H27" s="5"/>
    </row>
    <row r="28" spans="1:8" x14ac:dyDescent="0.3">
      <c r="A28" s="18" t="s">
        <v>21</v>
      </c>
      <c r="B28" s="18" t="s">
        <v>2</v>
      </c>
      <c r="C28" s="18" t="s">
        <v>134</v>
      </c>
      <c r="D28" s="18"/>
      <c r="E28" s="2"/>
      <c r="F28" s="2"/>
      <c r="G28" s="5"/>
      <c r="H28" s="5"/>
    </row>
    <row r="29" spans="1:8" x14ac:dyDescent="0.3">
      <c r="A29" s="18" t="s">
        <v>22</v>
      </c>
      <c r="B29" s="18" t="s">
        <v>2</v>
      </c>
      <c r="C29" s="18" t="s">
        <v>135</v>
      </c>
      <c r="D29" s="18"/>
      <c r="E29" s="2"/>
      <c r="F29" s="2"/>
      <c r="G29" s="5"/>
      <c r="H29" s="5"/>
    </row>
    <row r="30" spans="1:8" x14ac:dyDescent="0.3">
      <c r="A30" s="18" t="s">
        <v>23</v>
      </c>
      <c r="B30" s="18" t="s">
        <v>2</v>
      </c>
      <c r="C30" s="18" t="s">
        <v>136</v>
      </c>
      <c r="D30" s="18"/>
      <c r="E30" s="2"/>
      <c r="F30" s="2"/>
      <c r="G30" s="5"/>
      <c r="H30" s="5"/>
    </row>
    <row r="31" spans="1:8" x14ac:dyDescent="0.3">
      <c r="A31" s="18" t="s">
        <v>24</v>
      </c>
      <c r="B31" s="18" t="s">
        <v>2</v>
      </c>
      <c r="C31" s="18" t="s">
        <v>91</v>
      </c>
      <c r="D31" s="18"/>
      <c r="E31" s="2"/>
      <c r="F31" s="2"/>
      <c r="G31" s="5"/>
      <c r="H31" s="5"/>
    </row>
    <row r="32" spans="1:8" x14ac:dyDescent="0.3">
      <c r="A32" s="18" t="s">
        <v>25</v>
      </c>
      <c r="B32" s="18" t="s">
        <v>2</v>
      </c>
      <c r="C32" s="18" t="s">
        <v>92</v>
      </c>
      <c r="D32" s="18"/>
      <c r="E32" s="2"/>
      <c r="F32" s="2"/>
      <c r="G32" s="5"/>
      <c r="H32" s="5"/>
    </row>
    <row r="33" spans="1:8" x14ac:dyDescent="0.3">
      <c r="A33" s="18" t="s">
        <v>26</v>
      </c>
      <c r="B33" s="18" t="s">
        <v>2</v>
      </c>
      <c r="C33" s="18" t="s">
        <v>93</v>
      </c>
      <c r="D33" s="18"/>
      <c r="E33" s="2"/>
      <c r="F33" s="2"/>
      <c r="G33" s="5"/>
      <c r="H33" s="5"/>
    </row>
    <row r="34" spans="1:8" x14ac:dyDescent="0.3">
      <c r="A34" s="18" t="s">
        <v>137</v>
      </c>
      <c r="B34" s="18" t="s">
        <v>2</v>
      </c>
      <c r="C34" s="18" t="s">
        <v>94</v>
      </c>
      <c r="D34" s="18"/>
      <c r="E34" s="2"/>
      <c r="F34" s="2"/>
      <c r="G34" s="5"/>
      <c r="H34" s="5"/>
    </row>
    <row r="35" spans="1:8" x14ac:dyDescent="0.3">
      <c r="A35" s="19" t="s">
        <v>27</v>
      </c>
      <c r="B35" s="19" t="s">
        <v>1</v>
      </c>
      <c r="C35" s="19" t="s">
        <v>45</v>
      </c>
      <c r="D35" s="19" t="s">
        <v>126</v>
      </c>
      <c r="E35" s="2"/>
      <c r="F35" s="2"/>
      <c r="G35" s="5"/>
      <c r="H35" s="5"/>
    </row>
    <row r="36" spans="1:8" x14ac:dyDescent="0.3">
      <c r="A36" s="19" t="s">
        <v>28</v>
      </c>
      <c r="B36" s="19" t="s">
        <v>1</v>
      </c>
      <c r="C36" s="19" t="s">
        <v>46</v>
      </c>
      <c r="D36" s="19" t="s">
        <v>127</v>
      </c>
      <c r="E36" s="2"/>
      <c r="F36" s="2"/>
      <c r="G36" s="5"/>
      <c r="H36" s="5"/>
    </row>
    <row r="37" spans="1:8" x14ac:dyDescent="0.3">
      <c r="A37" s="19" t="s">
        <v>29</v>
      </c>
      <c r="B37" s="19" t="s">
        <v>1</v>
      </c>
      <c r="C37" s="19" t="s">
        <v>47</v>
      </c>
      <c r="D37" s="19" t="s">
        <v>128</v>
      </c>
    </row>
    <row r="38" spans="1:8" x14ac:dyDescent="0.3">
      <c r="A38" s="19" t="s">
        <v>30</v>
      </c>
      <c r="B38" s="19" t="s">
        <v>1</v>
      </c>
      <c r="C38" s="19" t="s">
        <v>48</v>
      </c>
      <c r="D38" s="19" t="s">
        <v>129</v>
      </c>
    </row>
    <row r="39" spans="1:8" x14ac:dyDescent="0.3">
      <c r="A39" s="19" t="s">
        <v>31</v>
      </c>
      <c r="B39" s="19" t="s">
        <v>1</v>
      </c>
      <c r="C39" s="19" t="s">
        <v>49</v>
      </c>
      <c r="D39" s="19" t="s">
        <v>130</v>
      </c>
    </row>
    <row r="40" spans="1:8" x14ac:dyDescent="0.3">
      <c r="A40" s="19" t="s">
        <v>32</v>
      </c>
      <c r="B40" s="19" t="s">
        <v>1</v>
      </c>
      <c r="C40" s="19" t="s">
        <v>87</v>
      </c>
      <c r="D40" s="19" t="s">
        <v>144</v>
      </c>
    </row>
    <row r="41" spans="1:8" x14ac:dyDescent="0.3">
      <c r="A41" s="19" t="s">
        <v>124</v>
      </c>
      <c r="B41" s="19" t="s">
        <v>1</v>
      </c>
      <c r="C41" s="19" t="s">
        <v>125</v>
      </c>
      <c r="D41" s="19" t="s">
        <v>94</v>
      </c>
    </row>
    <row r="42" spans="1:8" x14ac:dyDescent="0.3">
      <c r="A42" s="20" t="s">
        <v>116</v>
      </c>
      <c r="B42" s="20" t="s">
        <v>100</v>
      </c>
      <c r="C42" s="20" t="s">
        <v>95</v>
      </c>
      <c r="D42" s="20"/>
    </row>
    <row r="43" spans="1:8" x14ac:dyDescent="0.3">
      <c r="A43" s="20" t="s">
        <v>117</v>
      </c>
      <c r="B43" s="20" t="s">
        <v>100</v>
      </c>
      <c r="C43" s="20" t="s">
        <v>89</v>
      </c>
      <c r="D43" s="20"/>
    </row>
    <row r="44" spans="1:8" x14ac:dyDescent="0.3">
      <c r="A44" s="20" t="s">
        <v>118</v>
      </c>
      <c r="B44" s="20" t="s">
        <v>100</v>
      </c>
      <c r="C44" s="20" t="s">
        <v>90</v>
      </c>
      <c r="D44" s="20"/>
    </row>
    <row r="45" spans="1:8" x14ac:dyDescent="0.3">
      <c r="A45" s="20" t="s">
        <v>119</v>
      </c>
      <c r="B45" s="20" t="s">
        <v>100</v>
      </c>
      <c r="C45" s="20" t="s">
        <v>97</v>
      </c>
      <c r="D45" s="20"/>
    </row>
    <row r="46" spans="1:8" x14ac:dyDescent="0.3">
      <c r="A46" s="20" t="s">
        <v>120</v>
      </c>
      <c r="B46" s="20" t="s">
        <v>100</v>
      </c>
      <c r="C46" s="20" t="s">
        <v>96</v>
      </c>
      <c r="D46" s="20"/>
    </row>
    <row r="47" spans="1:8" x14ac:dyDescent="0.3">
      <c r="A47" s="20" t="s">
        <v>121</v>
      </c>
      <c r="B47" s="20" t="s">
        <v>100</v>
      </c>
      <c r="C47" s="20" t="s">
        <v>94</v>
      </c>
      <c r="D47" s="20"/>
    </row>
    <row r="48" spans="1:8" x14ac:dyDescent="0.3">
      <c r="A48" s="20" t="s">
        <v>122</v>
      </c>
      <c r="B48" s="20" t="s">
        <v>100</v>
      </c>
      <c r="C48" s="20" t="s">
        <v>123</v>
      </c>
      <c r="D48" s="20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E7FD-5F05-4163-94B4-FD730B606191}">
  <dimension ref="A1:D43"/>
  <sheetViews>
    <sheetView zoomScale="108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4.5546875" customWidth="1"/>
    <col min="2" max="2" width="15.6640625" customWidth="1"/>
    <col min="3" max="3" width="14.6640625" bestFit="1" customWidth="1"/>
    <col min="4" max="4" width="19.21875" customWidth="1"/>
    <col min="6" max="6" width="12.77734375" customWidth="1"/>
    <col min="7" max="7" width="13.44140625" customWidth="1"/>
    <col min="8" max="8" width="20.44140625" customWidth="1"/>
  </cols>
  <sheetData>
    <row r="1" spans="1:4" x14ac:dyDescent="0.3">
      <c r="A1" s="9" t="s">
        <v>37</v>
      </c>
      <c r="B1" s="9" t="s">
        <v>7</v>
      </c>
      <c r="C1" s="9" t="s">
        <v>38</v>
      </c>
      <c r="D1" s="10" t="s">
        <v>54</v>
      </c>
    </row>
    <row r="2" spans="1:4" x14ac:dyDescent="0.3">
      <c r="A2" s="11" t="s">
        <v>107</v>
      </c>
      <c r="B2" s="11" t="s">
        <v>101</v>
      </c>
      <c r="C2" s="11" t="s">
        <v>18</v>
      </c>
      <c r="D2" s="11"/>
    </row>
    <row r="3" spans="1:4" x14ac:dyDescent="0.3">
      <c r="A3" s="11" t="s">
        <v>107</v>
      </c>
      <c r="B3" s="11" t="s">
        <v>101</v>
      </c>
      <c r="C3" s="11" t="s">
        <v>19</v>
      </c>
      <c r="D3" s="11"/>
    </row>
    <row r="4" spans="1:4" x14ac:dyDescent="0.3">
      <c r="A4" s="11" t="s">
        <v>107</v>
      </c>
      <c r="B4" s="11" t="s">
        <v>102</v>
      </c>
      <c r="C4" s="11" t="s">
        <v>12</v>
      </c>
      <c r="D4" s="11"/>
    </row>
    <row r="5" spans="1:4" x14ac:dyDescent="0.3">
      <c r="A5" s="11" t="s">
        <v>107</v>
      </c>
      <c r="B5" s="11" t="s">
        <v>102</v>
      </c>
      <c r="C5" s="11" t="s">
        <v>109</v>
      </c>
      <c r="D5" s="11"/>
    </row>
    <row r="6" spans="1:4" x14ac:dyDescent="0.3">
      <c r="A6" s="11" t="s">
        <v>107</v>
      </c>
      <c r="B6" s="11" t="s">
        <v>102</v>
      </c>
      <c r="C6" s="11" t="s">
        <v>111</v>
      </c>
      <c r="D6" s="11"/>
    </row>
    <row r="7" spans="1:4" x14ac:dyDescent="0.3">
      <c r="A7" s="14" t="s">
        <v>12</v>
      </c>
      <c r="B7" s="14" t="s">
        <v>9</v>
      </c>
      <c r="C7" s="14" t="s">
        <v>18</v>
      </c>
      <c r="D7" s="14" t="s">
        <v>138</v>
      </c>
    </row>
    <row r="8" spans="1:4" x14ac:dyDescent="0.3">
      <c r="A8" s="14" t="s">
        <v>12</v>
      </c>
      <c r="B8" s="14" t="s">
        <v>9</v>
      </c>
      <c r="C8" s="14" t="s">
        <v>20</v>
      </c>
      <c r="D8" s="14"/>
    </row>
    <row r="9" spans="1:4" x14ac:dyDescent="0.3">
      <c r="A9" s="14" t="s">
        <v>12</v>
      </c>
      <c r="B9" s="14" t="s">
        <v>9</v>
      </c>
      <c r="C9" s="14" t="s">
        <v>21</v>
      </c>
      <c r="D9" s="14"/>
    </row>
    <row r="10" spans="1:4" x14ac:dyDescent="0.3">
      <c r="A10" s="14" t="s">
        <v>109</v>
      </c>
      <c r="B10" s="14" t="s">
        <v>9</v>
      </c>
      <c r="C10" s="14" t="s">
        <v>19</v>
      </c>
      <c r="D10" s="14"/>
    </row>
    <row r="11" spans="1:4" x14ac:dyDescent="0.3">
      <c r="A11" s="14" t="s">
        <v>109</v>
      </c>
      <c r="B11" s="14" t="s">
        <v>9</v>
      </c>
      <c r="C11" s="14" t="s">
        <v>22</v>
      </c>
      <c r="D11" s="14"/>
    </row>
    <row r="12" spans="1:4" x14ac:dyDescent="0.3">
      <c r="A12" s="14" t="s">
        <v>109</v>
      </c>
      <c r="B12" s="14" t="s">
        <v>9</v>
      </c>
      <c r="C12" s="14" t="s">
        <v>23</v>
      </c>
      <c r="D12" s="14"/>
    </row>
    <row r="13" spans="1:4" x14ac:dyDescent="0.3">
      <c r="A13" s="14" t="s">
        <v>111</v>
      </c>
      <c r="B13" s="14" t="s">
        <v>9</v>
      </c>
      <c r="C13" s="14" t="s">
        <v>24</v>
      </c>
      <c r="D13" s="14"/>
    </row>
    <row r="14" spans="1:4" x14ac:dyDescent="0.3">
      <c r="A14" s="14" t="s">
        <v>111</v>
      </c>
      <c r="B14" s="14" t="s">
        <v>9</v>
      </c>
      <c r="C14" s="14" t="s">
        <v>25</v>
      </c>
      <c r="D14" s="14"/>
    </row>
    <row r="15" spans="1:4" x14ac:dyDescent="0.3">
      <c r="A15" s="14" t="s">
        <v>111</v>
      </c>
      <c r="B15" s="14" t="s">
        <v>9</v>
      </c>
      <c r="C15" s="14" t="s">
        <v>26</v>
      </c>
      <c r="D15" s="14"/>
    </row>
    <row r="16" spans="1:4" x14ac:dyDescent="0.3">
      <c r="A16" s="14" t="s">
        <v>111</v>
      </c>
      <c r="B16" s="14" t="s">
        <v>9</v>
      </c>
      <c r="C16" s="14" t="s">
        <v>137</v>
      </c>
      <c r="D16" s="14"/>
    </row>
    <row r="17" spans="1:4" x14ac:dyDescent="0.3">
      <c r="A17" s="19" t="s">
        <v>27</v>
      </c>
      <c r="B17" s="19" t="s">
        <v>8</v>
      </c>
      <c r="C17" s="19" t="s">
        <v>63</v>
      </c>
      <c r="D17" s="19"/>
    </row>
    <row r="18" spans="1:4" x14ac:dyDescent="0.3">
      <c r="A18" s="19" t="s">
        <v>27</v>
      </c>
      <c r="B18" s="19" t="s">
        <v>9</v>
      </c>
      <c r="C18" s="19" t="s">
        <v>18</v>
      </c>
      <c r="D18" s="19"/>
    </row>
    <row r="19" spans="1:4" x14ac:dyDescent="0.3">
      <c r="A19" s="19" t="s">
        <v>28</v>
      </c>
      <c r="B19" s="19" t="s">
        <v>8</v>
      </c>
      <c r="C19" s="19" t="s">
        <v>16</v>
      </c>
      <c r="D19" s="19"/>
    </row>
    <row r="20" spans="1:4" x14ac:dyDescent="0.3">
      <c r="A20" s="19" t="s">
        <v>28</v>
      </c>
      <c r="B20" s="19" t="s">
        <v>9</v>
      </c>
      <c r="C20" s="19" t="s">
        <v>19</v>
      </c>
      <c r="D20" s="19"/>
    </row>
    <row r="21" spans="1:4" x14ac:dyDescent="0.3">
      <c r="A21" s="19" t="s">
        <v>29</v>
      </c>
      <c r="B21" s="19" t="s">
        <v>8</v>
      </c>
      <c r="C21" s="19" t="s">
        <v>13</v>
      </c>
      <c r="D21" s="19"/>
    </row>
    <row r="22" spans="1:4" x14ac:dyDescent="0.3">
      <c r="A22" s="19" t="s">
        <v>29</v>
      </c>
      <c r="B22" s="19" t="s">
        <v>9</v>
      </c>
      <c r="C22" s="19" t="s">
        <v>20</v>
      </c>
      <c r="D22" s="19"/>
    </row>
    <row r="23" spans="1:4" x14ac:dyDescent="0.3">
      <c r="A23" s="19" t="s">
        <v>29</v>
      </c>
      <c r="B23" s="19" t="s">
        <v>9</v>
      </c>
      <c r="C23" s="19" t="s">
        <v>21</v>
      </c>
      <c r="D23" s="19"/>
    </row>
    <row r="24" spans="1:4" x14ac:dyDescent="0.3">
      <c r="A24" s="19" t="s">
        <v>30</v>
      </c>
      <c r="B24" s="19" t="s">
        <v>8</v>
      </c>
      <c r="C24" s="19" t="s">
        <v>14</v>
      </c>
      <c r="D24" s="19"/>
    </row>
    <row r="25" spans="1:4" x14ac:dyDescent="0.3">
      <c r="A25" s="19" t="s">
        <v>30</v>
      </c>
      <c r="B25" s="19" t="s">
        <v>9</v>
      </c>
      <c r="C25" s="19" t="s">
        <v>22</v>
      </c>
      <c r="D25" s="19"/>
    </row>
    <row r="26" spans="1:4" x14ac:dyDescent="0.3">
      <c r="A26" s="19" t="s">
        <v>30</v>
      </c>
      <c r="B26" s="19" t="s">
        <v>9</v>
      </c>
      <c r="C26" s="19" t="s">
        <v>23</v>
      </c>
      <c r="D26" s="19"/>
    </row>
    <row r="27" spans="1:4" x14ac:dyDescent="0.3">
      <c r="A27" s="19" t="s">
        <v>31</v>
      </c>
      <c r="B27" s="19" t="s">
        <v>8</v>
      </c>
      <c r="C27" s="19" t="s">
        <v>17</v>
      </c>
      <c r="D27" s="19"/>
    </row>
    <row r="28" spans="1:4" x14ac:dyDescent="0.3">
      <c r="A28" s="19" t="s">
        <v>31</v>
      </c>
      <c r="B28" s="19" t="s">
        <v>9</v>
      </c>
      <c r="C28" s="19" t="s">
        <v>24</v>
      </c>
      <c r="D28" s="19"/>
    </row>
    <row r="29" spans="1:4" x14ac:dyDescent="0.3">
      <c r="A29" s="19" t="s">
        <v>32</v>
      </c>
      <c r="B29" s="19" t="s">
        <v>8</v>
      </c>
      <c r="C29" s="19" t="s">
        <v>88</v>
      </c>
      <c r="D29" s="19"/>
    </row>
    <row r="30" spans="1:4" x14ac:dyDescent="0.3">
      <c r="A30" s="19" t="s">
        <v>32</v>
      </c>
      <c r="B30" s="19" t="s">
        <v>9</v>
      </c>
      <c r="C30" s="19" t="s">
        <v>25</v>
      </c>
      <c r="D30" s="19"/>
    </row>
    <row r="31" spans="1:4" x14ac:dyDescent="0.3">
      <c r="A31" s="19" t="s">
        <v>32</v>
      </c>
      <c r="B31" s="19" t="s">
        <v>9</v>
      </c>
      <c r="C31" s="19" t="s">
        <v>26</v>
      </c>
      <c r="D31" s="19"/>
    </row>
    <row r="32" spans="1:4" x14ac:dyDescent="0.3">
      <c r="A32" s="19" t="s">
        <v>124</v>
      </c>
      <c r="B32" s="19" t="s">
        <v>8</v>
      </c>
      <c r="C32" s="19" t="s">
        <v>14</v>
      </c>
      <c r="D32" s="19"/>
    </row>
    <row r="33" spans="1:4" x14ac:dyDescent="0.3">
      <c r="A33" s="19" t="s">
        <v>124</v>
      </c>
      <c r="B33" s="19" t="s">
        <v>9</v>
      </c>
      <c r="C33" s="19" t="s">
        <v>137</v>
      </c>
      <c r="D33" s="19"/>
    </row>
    <row r="34" spans="1:4" x14ac:dyDescent="0.3">
      <c r="A34" s="18" t="s">
        <v>18</v>
      </c>
      <c r="B34" s="18" t="s">
        <v>103</v>
      </c>
      <c r="C34" s="18" t="s">
        <v>20</v>
      </c>
      <c r="D34" s="18"/>
    </row>
    <row r="35" spans="1:4" x14ac:dyDescent="0.3">
      <c r="A35" s="18" t="s">
        <v>19</v>
      </c>
      <c r="B35" s="18" t="s">
        <v>103</v>
      </c>
      <c r="C35" s="18" t="s">
        <v>22</v>
      </c>
      <c r="D35" s="18"/>
    </row>
    <row r="36" spans="1:4" x14ac:dyDescent="0.3">
      <c r="A36" s="18" t="s">
        <v>20</v>
      </c>
      <c r="B36" s="18" t="s">
        <v>103</v>
      </c>
      <c r="C36" s="18" t="s">
        <v>21</v>
      </c>
      <c r="D36" s="18"/>
    </row>
    <row r="37" spans="1:4" x14ac:dyDescent="0.3">
      <c r="A37" s="18" t="s">
        <v>21</v>
      </c>
      <c r="B37" s="18" t="s">
        <v>103</v>
      </c>
      <c r="C37" s="18" t="s">
        <v>23</v>
      </c>
      <c r="D37" s="18"/>
    </row>
    <row r="38" spans="1:4" x14ac:dyDescent="0.3">
      <c r="A38" s="18" t="s">
        <v>22</v>
      </c>
      <c r="B38" s="18" t="s">
        <v>103</v>
      </c>
      <c r="C38" s="18" t="s">
        <v>24</v>
      </c>
      <c r="D38" s="18"/>
    </row>
    <row r="39" spans="1:4" x14ac:dyDescent="0.3">
      <c r="A39" s="18" t="s">
        <v>23</v>
      </c>
      <c r="B39" s="18" t="s">
        <v>103</v>
      </c>
      <c r="C39" s="18" t="s">
        <v>24</v>
      </c>
      <c r="D39" s="18"/>
    </row>
    <row r="40" spans="1:4" x14ac:dyDescent="0.3">
      <c r="A40" s="18" t="s">
        <v>24</v>
      </c>
      <c r="B40" s="18" t="s">
        <v>103</v>
      </c>
      <c r="C40" s="18" t="s">
        <v>25</v>
      </c>
      <c r="D40" s="18"/>
    </row>
    <row r="41" spans="1:4" x14ac:dyDescent="0.3">
      <c r="A41" s="18" t="s">
        <v>25</v>
      </c>
      <c r="B41" s="18" t="s">
        <v>103</v>
      </c>
      <c r="C41" s="18" t="s">
        <v>26</v>
      </c>
      <c r="D41" s="18"/>
    </row>
    <row r="42" spans="1:4" x14ac:dyDescent="0.3">
      <c r="A42" s="18" t="s">
        <v>26</v>
      </c>
      <c r="B42" s="18" t="s">
        <v>103</v>
      </c>
      <c r="C42" s="18" t="s">
        <v>137</v>
      </c>
      <c r="D42" s="18"/>
    </row>
    <row r="43" spans="1:4" x14ac:dyDescent="0.3">
      <c r="A43" s="18" t="s">
        <v>137</v>
      </c>
      <c r="B43" s="18" t="s">
        <v>103</v>
      </c>
      <c r="C43" s="18"/>
      <c r="D43" s="18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382F-9A4D-46CB-956A-72ECCA720E4E}">
  <dimension ref="A1:D101"/>
  <sheetViews>
    <sheetView zoomScale="110" workbookViewId="0">
      <pane ySplit="1" topLeftCell="A2" activePane="bottomLeft" state="frozen"/>
      <selection pane="bottomLeft" activeCell="E92" sqref="E92"/>
    </sheetView>
  </sheetViews>
  <sheetFormatPr defaultRowHeight="14.4" x14ac:dyDescent="0.3"/>
  <cols>
    <col min="1" max="1" width="18.109375" customWidth="1"/>
    <col min="2" max="2" width="16.5546875" customWidth="1"/>
    <col min="3" max="3" width="11.44140625" style="4" customWidth="1"/>
    <col min="4" max="4" width="9.88671875" customWidth="1"/>
    <col min="5" max="5" width="45.33203125" customWidth="1"/>
  </cols>
  <sheetData>
    <row r="1" spans="1:4" x14ac:dyDescent="0.3">
      <c r="A1" s="1" t="s">
        <v>36</v>
      </c>
      <c r="B1" s="1" t="s">
        <v>7</v>
      </c>
      <c r="C1" s="3" t="s">
        <v>39</v>
      </c>
      <c r="D1" s="1" t="s">
        <v>54</v>
      </c>
    </row>
    <row r="2" spans="1:4" x14ac:dyDescent="0.3">
      <c r="A2" s="18" t="s">
        <v>18</v>
      </c>
      <c r="B2" s="18" t="s">
        <v>10</v>
      </c>
      <c r="C2" s="21">
        <f>240+4*5</f>
        <v>260</v>
      </c>
      <c r="D2" s="18" t="s">
        <v>62</v>
      </c>
    </row>
    <row r="3" spans="1:4" x14ac:dyDescent="0.3">
      <c r="A3" s="18" t="s">
        <v>19</v>
      </c>
      <c r="B3" s="18" t="s">
        <v>10</v>
      </c>
      <c r="C3" s="21">
        <f>C2</f>
        <v>260</v>
      </c>
      <c r="D3" s="18" t="s">
        <v>62</v>
      </c>
    </row>
    <row r="4" spans="1:4" x14ac:dyDescent="0.3">
      <c r="A4" s="18" t="s">
        <v>20</v>
      </c>
      <c r="B4" s="18" t="s">
        <v>10</v>
      </c>
      <c r="C4" s="21">
        <f>30+20</f>
        <v>50</v>
      </c>
      <c r="D4" s="18" t="s">
        <v>62</v>
      </c>
    </row>
    <row r="5" spans="1:4" x14ac:dyDescent="0.3">
      <c r="A5" s="18" t="s">
        <v>21</v>
      </c>
      <c r="B5" s="18" t="s">
        <v>10</v>
      </c>
      <c r="C5" s="21">
        <f>40+20</f>
        <v>60</v>
      </c>
      <c r="D5" s="18" t="s">
        <v>62</v>
      </c>
    </row>
    <row r="6" spans="1:4" x14ac:dyDescent="0.3">
      <c r="A6" s="18" t="s">
        <v>22</v>
      </c>
      <c r="B6" s="18" t="s">
        <v>10</v>
      </c>
      <c r="C6" s="21">
        <f>C4</f>
        <v>50</v>
      </c>
      <c r="D6" s="18" t="s">
        <v>62</v>
      </c>
    </row>
    <row r="7" spans="1:4" x14ac:dyDescent="0.3">
      <c r="A7" s="18" t="s">
        <v>23</v>
      </c>
      <c r="B7" s="18" t="s">
        <v>10</v>
      </c>
      <c r="C7" s="21">
        <f>C5</f>
        <v>60</v>
      </c>
      <c r="D7" s="18" t="s">
        <v>62</v>
      </c>
    </row>
    <row r="8" spans="1:4" x14ac:dyDescent="0.3">
      <c r="A8" s="18" t="s">
        <v>24</v>
      </c>
      <c r="B8" s="18" t="s">
        <v>10</v>
      </c>
      <c r="C8" s="21">
        <f>20+5</f>
        <v>25</v>
      </c>
      <c r="D8" s="18" t="s">
        <v>62</v>
      </c>
    </row>
    <row r="9" spans="1:4" x14ac:dyDescent="0.3">
      <c r="A9" s="18" t="s">
        <v>25</v>
      </c>
      <c r="B9" s="18" t="s">
        <v>10</v>
      </c>
      <c r="C9" s="21">
        <f>80+5</f>
        <v>85</v>
      </c>
      <c r="D9" s="18" t="s">
        <v>62</v>
      </c>
    </row>
    <row r="10" spans="1:4" x14ac:dyDescent="0.3">
      <c r="A10" s="18" t="s">
        <v>26</v>
      </c>
      <c r="B10" s="18" t="s">
        <v>10</v>
      </c>
      <c r="C10" s="21">
        <f>60+5</f>
        <v>65</v>
      </c>
      <c r="D10" s="18" t="s">
        <v>62</v>
      </c>
    </row>
    <row r="11" spans="1:4" x14ac:dyDescent="0.3">
      <c r="A11" s="18" t="s">
        <v>137</v>
      </c>
      <c r="B11" s="18" t="s">
        <v>10</v>
      </c>
      <c r="C11" s="21">
        <f>50+20</f>
        <v>70</v>
      </c>
      <c r="D11" s="18" t="s">
        <v>62</v>
      </c>
    </row>
    <row r="12" spans="1:4" x14ac:dyDescent="0.3">
      <c r="A12" s="15" t="s">
        <v>13</v>
      </c>
      <c r="B12" s="15" t="s">
        <v>52</v>
      </c>
      <c r="C12" s="22">
        <v>1</v>
      </c>
      <c r="D12" s="15"/>
    </row>
    <row r="13" spans="1:4" x14ac:dyDescent="0.3">
      <c r="A13" s="15" t="s">
        <v>13</v>
      </c>
      <c r="B13" s="15" t="s">
        <v>53</v>
      </c>
      <c r="C13" s="22">
        <v>0.05</v>
      </c>
      <c r="D13" s="15"/>
    </row>
    <row r="14" spans="1:4" x14ac:dyDescent="0.3">
      <c r="A14" s="15" t="s">
        <v>13</v>
      </c>
      <c r="B14" s="15" t="s">
        <v>56</v>
      </c>
      <c r="C14" s="22">
        <v>0.8</v>
      </c>
      <c r="D14" s="15"/>
    </row>
    <row r="15" spans="1:4" x14ac:dyDescent="0.3">
      <c r="A15" s="15" t="s">
        <v>13</v>
      </c>
      <c r="B15" s="15" t="s">
        <v>58</v>
      </c>
      <c r="C15" s="22">
        <v>2</v>
      </c>
      <c r="D15" s="15"/>
    </row>
    <row r="16" spans="1:4" x14ac:dyDescent="0.3">
      <c r="A16" s="15" t="s">
        <v>13</v>
      </c>
      <c r="B16" s="15" t="s">
        <v>59</v>
      </c>
      <c r="C16" s="22">
        <f>5*60*60</f>
        <v>18000</v>
      </c>
      <c r="D16" s="15" t="s">
        <v>62</v>
      </c>
    </row>
    <row r="17" spans="1:4" x14ac:dyDescent="0.3">
      <c r="A17" s="15" t="s">
        <v>13</v>
      </c>
      <c r="B17" s="15" t="s">
        <v>60</v>
      </c>
      <c r="C17" s="22">
        <v>0.01</v>
      </c>
      <c r="D17" s="15"/>
    </row>
    <row r="18" spans="1:4" x14ac:dyDescent="0.3">
      <c r="A18" s="15" t="s">
        <v>13</v>
      </c>
      <c r="B18" s="15" t="s">
        <v>61</v>
      </c>
      <c r="C18" s="22">
        <v>0.04</v>
      </c>
      <c r="D18" s="15"/>
    </row>
    <row r="19" spans="1:4" x14ac:dyDescent="0.3">
      <c r="A19" s="15" t="s">
        <v>13</v>
      </c>
      <c r="B19" s="15" t="s">
        <v>105</v>
      </c>
      <c r="C19" s="22" t="s">
        <v>117</v>
      </c>
      <c r="D19" s="15"/>
    </row>
    <row r="20" spans="1:4" x14ac:dyDescent="0.3">
      <c r="A20" s="15" t="s">
        <v>13</v>
      </c>
      <c r="B20" s="15" t="s">
        <v>105</v>
      </c>
      <c r="C20" s="22" t="s">
        <v>118</v>
      </c>
      <c r="D20" s="15"/>
    </row>
    <row r="21" spans="1:4" x14ac:dyDescent="0.3">
      <c r="A21" s="15" t="s">
        <v>13</v>
      </c>
      <c r="B21" s="15" t="s">
        <v>105</v>
      </c>
      <c r="C21" s="22" t="s">
        <v>122</v>
      </c>
      <c r="D21" s="15"/>
    </row>
    <row r="22" spans="1:4" x14ac:dyDescent="0.3">
      <c r="A22" s="15" t="s">
        <v>14</v>
      </c>
      <c r="B22" s="15" t="s">
        <v>52</v>
      </c>
      <c r="C22" s="22">
        <v>1</v>
      </c>
      <c r="D22" s="15"/>
    </row>
    <row r="23" spans="1:4" x14ac:dyDescent="0.3">
      <c r="A23" s="15" t="s">
        <v>14</v>
      </c>
      <c r="B23" s="15" t="s">
        <v>53</v>
      </c>
      <c r="C23" s="22">
        <v>0.05</v>
      </c>
      <c r="D23" s="15"/>
    </row>
    <row r="24" spans="1:4" x14ac:dyDescent="0.3">
      <c r="A24" s="15" t="s">
        <v>14</v>
      </c>
      <c r="B24" s="15" t="s">
        <v>56</v>
      </c>
      <c r="C24" s="22">
        <v>0.8</v>
      </c>
      <c r="D24" s="15"/>
    </row>
    <row r="25" spans="1:4" x14ac:dyDescent="0.3">
      <c r="A25" s="15" t="s">
        <v>14</v>
      </c>
      <c r="B25" s="15" t="s">
        <v>58</v>
      </c>
      <c r="C25" s="22">
        <v>2</v>
      </c>
      <c r="D25" s="15"/>
    </row>
    <row r="26" spans="1:4" x14ac:dyDescent="0.3">
      <c r="A26" s="15" t="s">
        <v>14</v>
      </c>
      <c r="B26" s="15" t="s">
        <v>59</v>
      </c>
      <c r="C26" s="22">
        <f>C36</f>
        <v>18000</v>
      </c>
      <c r="D26" s="15" t="s">
        <v>62</v>
      </c>
    </row>
    <row r="27" spans="1:4" x14ac:dyDescent="0.3">
      <c r="A27" s="15" t="s">
        <v>14</v>
      </c>
      <c r="B27" s="15" t="s">
        <v>60</v>
      </c>
      <c r="C27" s="22">
        <v>0.01</v>
      </c>
      <c r="D27" s="15"/>
    </row>
    <row r="28" spans="1:4" x14ac:dyDescent="0.3">
      <c r="A28" s="15" t="s">
        <v>14</v>
      </c>
      <c r="B28" s="15" t="s">
        <v>61</v>
      </c>
      <c r="C28" s="22">
        <v>0.04</v>
      </c>
      <c r="D28" s="15"/>
    </row>
    <row r="29" spans="1:4" x14ac:dyDescent="0.3">
      <c r="A29" s="15" t="s">
        <v>14</v>
      </c>
      <c r="B29" s="15" t="s">
        <v>105</v>
      </c>
      <c r="C29" s="22" t="s">
        <v>117</v>
      </c>
      <c r="D29" s="15"/>
    </row>
    <row r="30" spans="1:4" x14ac:dyDescent="0.3">
      <c r="A30" s="15" t="s">
        <v>14</v>
      </c>
      <c r="B30" s="15" t="s">
        <v>105</v>
      </c>
      <c r="C30" s="22" t="s">
        <v>118</v>
      </c>
      <c r="D30" s="15"/>
    </row>
    <row r="31" spans="1:4" x14ac:dyDescent="0.3">
      <c r="A31" s="15" t="s">
        <v>14</v>
      </c>
      <c r="B31" s="15" t="s">
        <v>105</v>
      </c>
      <c r="C31" s="22" t="s">
        <v>122</v>
      </c>
      <c r="D31" s="15"/>
    </row>
    <row r="32" spans="1:4" x14ac:dyDescent="0.3">
      <c r="A32" s="15" t="s">
        <v>15</v>
      </c>
      <c r="B32" s="15" t="s">
        <v>52</v>
      </c>
      <c r="C32" s="22">
        <v>1</v>
      </c>
      <c r="D32" s="15"/>
    </row>
    <row r="33" spans="1:4" x14ac:dyDescent="0.3">
      <c r="A33" s="15" t="s">
        <v>15</v>
      </c>
      <c r="B33" s="15" t="s">
        <v>53</v>
      </c>
      <c r="C33" s="22">
        <v>0.05</v>
      </c>
      <c r="D33" s="15"/>
    </row>
    <row r="34" spans="1:4" x14ac:dyDescent="0.3">
      <c r="A34" s="15" t="s">
        <v>15</v>
      </c>
      <c r="B34" s="15" t="s">
        <v>56</v>
      </c>
      <c r="C34" s="22">
        <v>0.8</v>
      </c>
      <c r="D34" s="15"/>
    </row>
    <row r="35" spans="1:4" x14ac:dyDescent="0.3">
      <c r="A35" s="15" t="s">
        <v>15</v>
      </c>
      <c r="B35" s="15" t="s">
        <v>58</v>
      </c>
      <c r="C35" s="22">
        <v>2</v>
      </c>
      <c r="D35" s="15"/>
    </row>
    <row r="36" spans="1:4" x14ac:dyDescent="0.3">
      <c r="A36" s="15" t="s">
        <v>15</v>
      </c>
      <c r="B36" s="15" t="s">
        <v>59</v>
      </c>
      <c r="C36" s="22">
        <f>5*60*60</f>
        <v>18000</v>
      </c>
      <c r="D36" s="15" t="s">
        <v>62</v>
      </c>
    </row>
    <row r="37" spans="1:4" x14ac:dyDescent="0.3">
      <c r="A37" s="15" t="s">
        <v>15</v>
      </c>
      <c r="B37" s="15" t="s">
        <v>60</v>
      </c>
      <c r="C37" s="22">
        <v>0.01</v>
      </c>
      <c r="D37" s="15"/>
    </row>
    <row r="38" spans="1:4" x14ac:dyDescent="0.3">
      <c r="A38" s="15" t="s">
        <v>15</v>
      </c>
      <c r="B38" s="15" t="s">
        <v>61</v>
      </c>
      <c r="C38" s="22">
        <v>0.04</v>
      </c>
      <c r="D38" s="15"/>
    </row>
    <row r="39" spans="1:4" x14ac:dyDescent="0.3">
      <c r="A39" s="15" t="s">
        <v>15</v>
      </c>
      <c r="B39" s="15" t="s">
        <v>105</v>
      </c>
      <c r="C39" s="22" t="s">
        <v>119</v>
      </c>
      <c r="D39" s="15"/>
    </row>
    <row r="40" spans="1:4" x14ac:dyDescent="0.3">
      <c r="A40" s="15" t="s">
        <v>15</v>
      </c>
      <c r="B40" s="15" t="s">
        <v>105</v>
      </c>
      <c r="C40" s="22" t="s">
        <v>120</v>
      </c>
      <c r="D40" s="15"/>
    </row>
    <row r="41" spans="1:4" x14ac:dyDescent="0.3">
      <c r="A41" s="15" t="s">
        <v>15</v>
      </c>
      <c r="B41" s="15" t="s">
        <v>105</v>
      </c>
      <c r="C41" s="22" t="s">
        <v>121</v>
      </c>
      <c r="D41" s="15"/>
    </row>
    <row r="42" spans="1:4" x14ac:dyDescent="0.3">
      <c r="A42" s="15" t="s">
        <v>15</v>
      </c>
      <c r="B42" s="15" t="s">
        <v>105</v>
      </c>
      <c r="C42" s="22" t="s">
        <v>122</v>
      </c>
      <c r="D42" s="15"/>
    </row>
    <row r="43" spans="1:4" x14ac:dyDescent="0.3">
      <c r="A43" s="15" t="s">
        <v>114</v>
      </c>
      <c r="B43" s="15" t="s">
        <v>52</v>
      </c>
      <c r="C43" s="22">
        <v>1.5</v>
      </c>
      <c r="D43" s="15"/>
    </row>
    <row r="44" spans="1:4" x14ac:dyDescent="0.3">
      <c r="A44" s="15" t="s">
        <v>114</v>
      </c>
      <c r="B44" s="15" t="s">
        <v>53</v>
      </c>
      <c r="C44" s="22">
        <v>0.05</v>
      </c>
      <c r="D44" s="15"/>
    </row>
    <row r="45" spans="1:4" x14ac:dyDescent="0.3">
      <c r="A45" s="15" t="s">
        <v>114</v>
      </c>
      <c r="B45" s="15" t="s">
        <v>56</v>
      </c>
      <c r="C45" s="22">
        <v>0.8</v>
      </c>
      <c r="D45" s="15"/>
    </row>
    <row r="46" spans="1:4" x14ac:dyDescent="0.3">
      <c r="A46" s="15" t="s">
        <v>114</v>
      </c>
      <c r="B46" s="15" t="s">
        <v>58</v>
      </c>
      <c r="C46" s="22">
        <v>2</v>
      </c>
      <c r="D46" s="15"/>
    </row>
    <row r="47" spans="1:4" x14ac:dyDescent="0.3">
      <c r="A47" s="15" t="s">
        <v>114</v>
      </c>
      <c r="B47" s="15" t="s">
        <v>59</v>
      </c>
      <c r="C47" s="22">
        <f>5*60*60</f>
        <v>18000</v>
      </c>
      <c r="D47" s="15" t="s">
        <v>62</v>
      </c>
    </row>
    <row r="48" spans="1:4" x14ac:dyDescent="0.3">
      <c r="A48" s="15" t="s">
        <v>114</v>
      </c>
      <c r="B48" s="15" t="s">
        <v>60</v>
      </c>
      <c r="C48" s="22">
        <v>0.01</v>
      </c>
      <c r="D48" s="15"/>
    </row>
    <row r="49" spans="1:4" x14ac:dyDescent="0.3">
      <c r="A49" s="15" t="s">
        <v>114</v>
      </c>
      <c r="B49" s="15" t="s">
        <v>61</v>
      </c>
      <c r="C49" s="22">
        <v>0.04</v>
      </c>
      <c r="D49" s="15"/>
    </row>
    <row r="50" spans="1:4" x14ac:dyDescent="0.3">
      <c r="A50" s="15" t="s">
        <v>114</v>
      </c>
      <c r="B50" s="15" t="s">
        <v>105</v>
      </c>
      <c r="C50" s="22" t="s">
        <v>116</v>
      </c>
      <c r="D50" s="15" t="s">
        <v>141</v>
      </c>
    </row>
    <row r="51" spans="1:4" x14ac:dyDescent="0.3">
      <c r="A51" s="15" t="s">
        <v>114</v>
      </c>
      <c r="B51" s="15" t="s">
        <v>105</v>
      </c>
      <c r="C51" s="22" t="s">
        <v>117</v>
      </c>
      <c r="D51" s="15" t="s">
        <v>89</v>
      </c>
    </row>
    <row r="52" spans="1:4" x14ac:dyDescent="0.3">
      <c r="A52" s="15" t="s">
        <v>114</v>
      </c>
      <c r="B52" s="15" t="s">
        <v>105</v>
      </c>
      <c r="C52" s="22" t="s">
        <v>118</v>
      </c>
      <c r="D52" s="15" t="s">
        <v>90</v>
      </c>
    </row>
    <row r="53" spans="1:4" x14ac:dyDescent="0.3">
      <c r="A53" s="15" t="s">
        <v>114</v>
      </c>
      <c r="B53" s="15" t="s">
        <v>105</v>
      </c>
      <c r="C53" s="22" t="s">
        <v>119</v>
      </c>
      <c r="D53" s="15" t="s">
        <v>142</v>
      </c>
    </row>
    <row r="54" spans="1:4" x14ac:dyDescent="0.3">
      <c r="A54" s="15" t="s">
        <v>114</v>
      </c>
      <c r="B54" s="15" t="s">
        <v>105</v>
      </c>
      <c r="C54" s="22" t="s">
        <v>120</v>
      </c>
      <c r="D54" s="15" t="s">
        <v>92</v>
      </c>
    </row>
    <row r="55" spans="1:4" x14ac:dyDescent="0.3">
      <c r="A55" s="15" t="s">
        <v>114</v>
      </c>
      <c r="B55" s="15" t="s">
        <v>105</v>
      </c>
      <c r="C55" s="22" t="s">
        <v>121</v>
      </c>
      <c r="D55" s="15" t="s">
        <v>94</v>
      </c>
    </row>
    <row r="56" spans="1:4" x14ac:dyDescent="0.3">
      <c r="A56" s="15" t="s">
        <v>114</v>
      </c>
      <c r="B56" s="15" t="s">
        <v>105</v>
      </c>
      <c r="C56" s="22" t="s">
        <v>122</v>
      </c>
      <c r="D56" s="15" t="s">
        <v>143</v>
      </c>
    </row>
    <row r="57" spans="1:4" x14ac:dyDescent="0.3">
      <c r="A57" s="16" t="s">
        <v>63</v>
      </c>
      <c r="B57" s="16" t="s">
        <v>52</v>
      </c>
      <c r="C57" s="23">
        <v>1</v>
      </c>
      <c r="D57" s="16"/>
    </row>
    <row r="58" spans="1:4" x14ac:dyDescent="0.3">
      <c r="A58" s="16" t="s">
        <v>63</v>
      </c>
      <c r="B58" s="16" t="s">
        <v>53</v>
      </c>
      <c r="C58" s="23">
        <v>0.02</v>
      </c>
      <c r="D58" s="16"/>
    </row>
    <row r="59" spans="1:4" x14ac:dyDescent="0.3">
      <c r="A59" s="16" t="s">
        <v>63</v>
      </c>
      <c r="B59" s="16" t="s">
        <v>105</v>
      </c>
      <c r="C59" s="23" t="s">
        <v>116</v>
      </c>
      <c r="D59" s="16"/>
    </row>
    <row r="60" spans="1:4" x14ac:dyDescent="0.3">
      <c r="A60" s="16" t="s">
        <v>16</v>
      </c>
      <c r="B60" s="16" t="s">
        <v>52</v>
      </c>
      <c r="C60" s="23">
        <v>1</v>
      </c>
      <c r="D60" s="16"/>
    </row>
    <row r="61" spans="1:4" x14ac:dyDescent="0.3">
      <c r="A61" s="16" t="s">
        <v>16</v>
      </c>
      <c r="B61" s="16" t="s">
        <v>53</v>
      </c>
      <c r="C61" s="23">
        <v>0.02</v>
      </c>
      <c r="D61" s="16"/>
    </row>
    <row r="62" spans="1:4" x14ac:dyDescent="0.3">
      <c r="A62" s="16" t="s">
        <v>16</v>
      </c>
      <c r="B62" s="16" t="s">
        <v>105</v>
      </c>
      <c r="C62" s="23" t="s">
        <v>116</v>
      </c>
      <c r="D62" s="16"/>
    </row>
    <row r="63" spans="1:4" x14ac:dyDescent="0.3">
      <c r="A63" s="16" t="s">
        <v>17</v>
      </c>
      <c r="B63" s="16" t="s">
        <v>52</v>
      </c>
      <c r="C63" s="23">
        <v>1</v>
      </c>
      <c r="D63" s="16"/>
    </row>
    <row r="64" spans="1:4" x14ac:dyDescent="0.3">
      <c r="A64" s="16" t="s">
        <v>17</v>
      </c>
      <c r="B64" s="16" t="s">
        <v>53</v>
      </c>
      <c r="C64" s="23">
        <v>0.02</v>
      </c>
      <c r="D64" s="16"/>
    </row>
    <row r="65" spans="1:4" x14ac:dyDescent="0.3">
      <c r="A65" s="16" t="s">
        <v>17</v>
      </c>
      <c r="B65" s="16" t="s">
        <v>105</v>
      </c>
      <c r="C65" s="23" t="s">
        <v>122</v>
      </c>
      <c r="D65" s="16"/>
    </row>
    <row r="66" spans="1:4" x14ac:dyDescent="0.3">
      <c r="A66" s="16" t="s">
        <v>88</v>
      </c>
      <c r="B66" s="16" t="s">
        <v>52</v>
      </c>
      <c r="C66" s="23">
        <v>1</v>
      </c>
      <c r="D66" s="16"/>
    </row>
    <row r="67" spans="1:4" x14ac:dyDescent="0.3">
      <c r="A67" s="16" t="s">
        <v>88</v>
      </c>
      <c r="B67" s="16" t="s">
        <v>53</v>
      </c>
      <c r="C67" s="23">
        <v>0.02</v>
      </c>
      <c r="D67" s="16"/>
    </row>
    <row r="68" spans="1:4" x14ac:dyDescent="0.3">
      <c r="A68" s="16" t="s">
        <v>88</v>
      </c>
      <c r="B68" s="16" t="s">
        <v>105</v>
      </c>
      <c r="C68" s="23" t="s">
        <v>119</v>
      </c>
      <c r="D68" s="16"/>
    </row>
    <row r="69" spans="1:4" x14ac:dyDescent="0.3">
      <c r="A69" s="16" t="s">
        <v>88</v>
      </c>
      <c r="B69" s="16" t="s">
        <v>105</v>
      </c>
      <c r="C69" s="23" t="s">
        <v>120</v>
      </c>
      <c r="D69" s="16"/>
    </row>
    <row r="70" spans="1:4" x14ac:dyDescent="0.3">
      <c r="A70" s="18" t="s">
        <v>18</v>
      </c>
      <c r="B70" s="18" t="s">
        <v>104</v>
      </c>
      <c r="C70" s="21" t="s">
        <v>116</v>
      </c>
      <c r="D70" s="18"/>
    </row>
    <row r="71" spans="1:4" x14ac:dyDescent="0.3">
      <c r="A71" s="18" t="s">
        <v>19</v>
      </c>
      <c r="B71" s="18" t="s">
        <v>104</v>
      </c>
      <c r="C71" s="21" t="s">
        <v>116</v>
      </c>
      <c r="D71" s="18"/>
    </row>
    <row r="72" spans="1:4" x14ac:dyDescent="0.3">
      <c r="A72" s="18" t="s">
        <v>20</v>
      </c>
      <c r="B72" s="18" t="s">
        <v>104</v>
      </c>
      <c r="C72" s="21" t="s">
        <v>117</v>
      </c>
      <c r="D72" s="18"/>
    </row>
    <row r="73" spans="1:4" x14ac:dyDescent="0.3">
      <c r="A73" s="18" t="s">
        <v>21</v>
      </c>
      <c r="B73" s="18" t="s">
        <v>104</v>
      </c>
      <c r="C73" s="21" t="s">
        <v>118</v>
      </c>
      <c r="D73" s="18"/>
    </row>
    <row r="74" spans="1:4" x14ac:dyDescent="0.3">
      <c r="A74" s="18" t="s">
        <v>22</v>
      </c>
      <c r="B74" s="18" t="s">
        <v>104</v>
      </c>
      <c r="C74" s="21" t="s">
        <v>117</v>
      </c>
      <c r="D74" s="18"/>
    </row>
    <row r="75" spans="1:4" x14ac:dyDescent="0.3">
      <c r="A75" s="18" t="s">
        <v>23</v>
      </c>
      <c r="B75" s="18" t="s">
        <v>104</v>
      </c>
      <c r="C75" s="21" t="s">
        <v>118</v>
      </c>
      <c r="D75" s="18"/>
    </row>
    <row r="76" spans="1:4" x14ac:dyDescent="0.3">
      <c r="A76" s="18" t="s">
        <v>24</v>
      </c>
      <c r="B76" s="18" t="s">
        <v>104</v>
      </c>
      <c r="C76" s="21" t="s">
        <v>122</v>
      </c>
      <c r="D76" s="18"/>
    </row>
    <row r="77" spans="1:4" x14ac:dyDescent="0.3">
      <c r="A77" s="18" t="s">
        <v>25</v>
      </c>
      <c r="B77" s="18" t="s">
        <v>104</v>
      </c>
      <c r="C77" s="21" t="s">
        <v>119</v>
      </c>
      <c r="D77" s="18"/>
    </row>
    <row r="78" spans="1:4" x14ac:dyDescent="0.3">
      <c r="A78" s="18" t="s">
        <v>26</v>
      </c>
      <c r="B78" s="18" t="s">
        <v>104</v>
      </c>
      <c r="C78" s="21" t="s">
        <v>120</v>
      </c>
      <c r="D78" s="18"/>
    </row>
    <row r="79" spans="1:4" x14ac:dyDescent="0.3">
      <c r="A79" s="18" t="s">
        <v>137</v>
      </c>
      <c r="B79" s="18" t="s">
        <v>104</v>
      </c>
      <c r="C79" s="21" t="s">
        <v>121</v>
      </c>
      <c r="D79" s="18"/>
    </row>
    <row r="80" spans="1:4" x14ac:dyDescent="0.3">
      <c r="A80" s="17" t="s">
        <v>65</v>
      </c>
      <c r="B80" s="17" t="s">
        <v>52</v>
      </c>
      <c r="C80" s="24">
        <v>1</v>
      </c>
      <c r="D80" s="17"/>
    </row>
    <row r="81" spans="1:4" x14ac:dyDescent="0.3">
      <c r="A81" s="17" t="s">
        <v>65</v>
      </c>
      <c r="B81" s="17" t="s">
        <v>53</v>
      </c>
      <c r="C81" s="24">
        <v>0.02</v>
      </c>
      <c r="D81" s="17"/>
    </row>
    <row r="82" spans="1:4" x14ac:dyDescent="0.3">
      <c r="A82" s="17" t="s">
        <v>67</v>
      </c>
      <c r="B82" s="17" t="s">
        <v>52</v>
      </c>
      <c r="C82" s="24">
        <v>1</v>
      </c>
      <c r="D82" s="17"/>
    </row>
    <row r="83" spans="1:4" x14ac:dyDescent="0.3">
      <c r="A83" s="17" t="s">
        <v>67</v>
      </c>
      <c r="B83" s="17" t="s">
        <v>53</v>
      </c>
      <c r="C83" s="24">
        <v>0.02</v>
      </c>
      <c r="D83" s="17"/>
    </row>
    <row r="84" spans="1:4" x14ac:dyDescent="0.3">
      <c r="A84" s="17" t="s">
        <v>68</v>
      </c>
      <c r="B84" s="17" t="s">
        <v>52</v>
      </c>
      <c r="C84" s="24">
        <v>1</v>
      </c>
      <c r="D84" s="17"/>
    </row>
    <row r="85" spans="1:4" x14ac:dyDescent="0.3">
      <c r="A85" s="17" t="s">
        <v>68</v>
      </c>
      <c r="B85" s="17" t="s">
        <v>53</v>
      </c>
      <c r="C85" s="24">
        <v>0.02</v>
      </c>
      <c r="D85" s="17"/>
    </row>
    <row r="86" spans="1:4" x14ac:dyDescent="0.3">
      <c r="A86" s="17" t="s">
        <v>69</v>
      </c>
      <c r="B86" s="17" t="s">
        <v>52</v>
      </c>
      <c r="C86" s="24">
        <v>1</v>
      </c>
      <c r="D86" s="17"/>
    </row>
    <row r="87" spans="1:4" x14ac:dyDescent="0.3">
      <c r="A87" s="17" t="s">
        <v>69</v>
      </c>
      <c r="B87" s="17" t="s">
        <v>53</v>
      </c>
      <c r="C87" s="24">
        <v>0.02</v>
      </c>
      <c r="D87" s="17"/>
    </row>
    <row r="88" spans="1:4" x14ac:dyDescent="0.3">
      <c r="A88" s="17" t="s">
        <v>73</v>
      </c>
      <c r="B88" s="17" t="s">
        <v>52</v>
      </c>
      <c r="C88" s="24">
        <v>1</v>
      </c>
      <c r="D88" s="17"/>
    </row>
    <row r="89" spans="1:4" x14ac:dyDescent="0.3">
      <c r="A89" s="17" t="s">
        <v>73</v>
      </c>
      <c r="B89" s="17" t="s">
        <v>53</v>
      </c>
      <c r="C89" s="24">
        <v>0.02</v>
      </c>
      <c r="D89" s="17"/>
    </row>
    <row r="90" spans="1:4" x14ac:dyDescent="0.3">
      <c r="A90" s="17" t="s">
        <v>74</v>
      </c>
      <c r="B90" s="17" t="s">
        <v>52</v>
      </c>
      <c r="C90" s="24">
        <v>1</v>
      </c>
      <c r="D90" s="17"/>
    </row>
    <row r="91" spans="1:4" x14ac:dyDescent="0.3">
      <c r="A91" s="17" t="s">
        <v>74</v>
      </c>
      <c r="B91" s="17" t="s">
        <v>53</v>
      </c>
      <c r="C91" s="24">
        <v>0.02</v>
      </c>
      <c r="D91" s="17"/>
    </row>
    <row r="92" spans="1:4" x14ac:dyDescent="0.3">
      <c r="A92" s="17" t="s">
        <v>77</v>
      </c>
      <c r="B92" s="17" t="s">
        <v>52</v>
      </c>
      <c r="C92" s="24">
        <v>1</v>
      </c>
      <c r="D92" s="17"/>
    </row>
    <row r="93" spans="1:4" x14ac:dyDescent="0.3">
      <c r="A93" s="17" t="s">
        <v>77</v>
      </c>
      <c r="B93" s="17" t="s">
        <v>53</v>
      </c>
      <c r="C93" s="24">
        <v>0.02</v>
      </c>
      <c r="D93" s="17"/>
    </row>
    <row r="94" spans="1:4" x14ac:dyDescent="0.3">
      <c r="A94" s="17" t="s">
        <v>79</v>
      </c>
      <c r="B94" s="17" t="s">
        <v>52</v>
      </c>
      <c r="C94" s="24">
        <v>1</v>
      </c>
      <c r="D94" s="17"/>
    </row>
    <row r="95" spans="1:4" x14ac:dyDescent="0.3">
      <c r="A95" s="17" t="s">
        <v>79</v>
      </c>
      <c r="B95" s="17" t="s">
        <v>53</v>
      </c>
      <c r="C95" s="24">
        <v>0.02</v>
      </c>
      <c r="D95" s="17"/>
    </row>
    <row r="96" spans="1:4" x14ac:dyDescent="0.3">
      <c r="A96" s="17" t="s">
        <v>81</v>
      </c>
      <c r="B96" s="17" t="s">
        <v>52</v>
      </c>
      <c r="C96" s="24">
        <v>1</v>
      </c>
      <c r="D96" s="17"/>
    </row>
    <row r="97" spans="1:4" x14ac:dyDescent="0.3">
      <c r="A97" s="17" t="s">
        <v>81</v>
      </c>
      <c r="B97" s="17" t="s">
        <v>53</v>
      </c>
      <c r="C97" s="24">
        <v>0.02</v>
      </c>
      <c r="D97" s="17"/>
    </row>
    <row r="98" spans="1:4" x14ac:dyDescent="0.3">
      <c r="A98" s="17" t="s">
        <v>82</v>
      </c>
      <c r="B98" s="17" t="s">
        <v>52</v>
      </c>
      <c r="C98" s="24">
        <v>1</v>
      </c>
      <c r="D98" s="17"/>
    </row>
    <row r="99" spans="1:4" x14ac:dyDescent="0.3">
      <c r="A99" s="17" t="s">
        <v>82</v>
      </c>
      <c r="B99" s="17" t="s">
        <v>53</v>
      </c>
      <c r="C99" s="24">
        <v>0.02</v>
      </c>
      <c r="D99" s="17"/>
    </row>
    <row r="100" spans="1:4" x14ac:dyDescent="0.3">
      <c r="A100" s="17" t="s">
        <v>85</v>
      </c>
      <c r="B100" s="17" t="s">
        <v>52</v>
      </c>
      <c r="C100" s="24">
        <v>1</v>
      </c>
      <c r="D100" s="17"/>
    </row>
    <row r="101" spans="1:4" x14ac:dyDescent="0.3">
      <c r="A101" s="17" t="s">
        <v>85</v>
      </c>
      <c r="B101" s="17" t="s">
        <v>53</v>
      </c>
      <c r="C101" s="24">
        <v>0.02</v>
      </c>
      <c r="D101" s="1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Classes</vt:lpstr>
      <vt:lpstr>ObjectProperties</vt:lpstr>
      <vt:lpstr>DataProperties</vt:lpstr>
      <vt:lpstr>Instances</vt:lpstr>
      <vt:lpstr>Relationships</vt:lpstr>
      <vt:lpstr>DataProperties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Αντρεας Ιωαννιδης</cp:lastModifiedBy>
  <dcterms:created xsi:type="dcterms:W3CDTF">2025-12-29T14:48:05Z</dcterms:created>
  <dcterms:modified xsi:type="dcterms:W3CDTF">2026-01-28T11:47:28Z</dcterms:modified>
</cp:coreProperties>
</file>